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nsair/Desktop/online course(VBA,Coding)/VBA_ScriptUni/03 Option Pricing/"/>
    </mc:Choice>
  </mc:AlternateContent>
  <xr:revisionPtr revIDLastSave="0" documentId="8_{D776B0A2-D9C9-934C-9CFE-F05B44FC7FBC}" xr6:coauthVersionLast="36" xr6:coauthVersionMax="36" xr10:uidLastSave="{00000000-0000-0000-0000-000000000000}"/>
  <bookViews>
    <workbookView xWindow="1160" yWindow="840" windowWidth="27640" windowHeight="16100" xr2:uid="{5E4CD3FF-9739-234B-904B-DCD12401B316}"/>
  </bookViews>
  <sheets>
    <sheet name="Sheet1" sheetId="1" r:id="rId1"/>
    <sheet name="Sheet2" sheetId="2" r:id="rId2"/>
  </sheets>
  <definedNames>
    <definedName name="disc">Sheet1!$E$26</definedName>
    <definedName name="down">Sheet1!$E$23</definedName>
    <definedName name="k">Sheet1!$B$26</definedName>
    <definedName name="Pd">Sheet1!$E$25</definedName>
    <definedName name="Pu">Sheet1!$E$24</definedName>
    <definedName name="S0">Sheet1!$B$25</definedName>
    <definedName name="up">Sheet1!$E$22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2" i="1" l="1"/>
  <c r="K63" i="1"/>
  <c r="K62" i="1"/>
  <c r="I63" i="1"/>
  <c r="I64" i="1"/>
  <c r="I62" i="1"/>
  <c r="G63" i="1"/>
  <c r="G64" i="1"/>
  <c r="G65" i="1"/>
  <c r="G62" i="1"/>
  <c r="B66" i="1"/>
  <c r="C66" i="1" s="1"/>
  <c r="E66" i="1" s="1"/>
  <c r="B65" i="1"/>
  <c r="C65" i="1" s="1"/>
  <c r="E65" i="1" s="1"/>
  <c r="B64" i="1"/>
  <c r="C64" i="1" s="1"/>
  <c r="E64" i="1" s="1"/>
  <c r="B63" i="1"/>
  <c r="C63" i="1" s="1"/>
  <c r="E63" i="1" s="1"/>
  <c r="C62" i="1"/>
  <c r="E62" i="1" s="1"/>
  <c r="B62" i="1"/>
  <c r="G49" i="1"/>
  <c r="H49" i="1" s="1"/>
  <c r="F51" i="1"/>
  <c r="F52" i="1"/>
  <c r="F50" i="1"/>
  <c r="F53" i="1"/>
  <c r="F49" i="1"/>
  <c r="E50" i="1"/>
  <c r="E49" i="1"/>
  <c r="C53" i="1"/>
  <c r="E53" i="1" s="1"/>
  <c r="G53" i="1" s="1"/>
  <c r="H53" i="1" s="1"/>
  <c r="B49" i="1"/>
  <c r="C49" i="1" s="1"/>
  <c r="B53" i="1"/>
  <c r="B52" i="1"/>
  <c r="C52" i="1" s="1"/>
  <c r="E52" i="1" s="1"/>
  <c r="G52" i="1" s="1"/>
  <c r="H52" i="1" s="1"/>
  <c r="B51" i="1"/>
  <c r="C51" i="1" s="1"/>
  <c r="E51" i="1" s="1"/>
  <c r="G51" i="1" s="1"/>
  <c r="H51" i="1" s="1"/>
  <c r="B50" i="1"/>
  <c r="C50" i="1" s="1"/>
  <c r="H33" i="1"/>
  <c r="I34" i="1" s="1"/>
  <c r="J35" i="1" s="1"/>
  <c r="I30" i="1"/>
  <c r="J29" i="1" s="1"/>
  <c r="K28" i="1" s="1"/>
  <c r="K40" i="1" s="1"/>
  <c r="H31" i="1"/>
  <c r="E26" i="1"/>
  <c r="E25" i="1"/>
  <c r="E24" i="1"/>
  <c r="E23" i="1"/>
  <c r="E22" i="1"/>
  <c r="E21" i="1"/>
  <c r="G50" i="1" l="1"/>
  <c r="H50" i="1" s="1"/>
  <c r="H54" i="1" s="1"/>
  <c r="F54" i="1"/>
  <c r="K36" i="1"/>
  <c r="K48" i="1" s="1"/>
  <c r="K34" i="1"/>
  <c r="K46" i="1" s="1"/>
  <c r="J47" i="1" s="1"/>
  <c r="I32" i="1"/>
  <c r="J33" i="1" l="1"/>
  <c r="K32" i="1" s="1"/>
  <c r="K44" i="1" s="1"/>
  <c r="J45" i="1" s="1"/>
  <c r="I46" i="1" s="1"/>
  <c r="J31" i="1"/>
  <c r="K30" i="1" s="1"/>
  <c r="K42" i="1" s="1"/>
  <c r="J43" i="1" l="1"/>
  <c r="I44" i="1" s="1"/>
  <c r="H45" i="1" s="1"/>
  <c r="J41" i="1"/>
  <c r="I42" i="1" l="1"/>
  <c r="H43" i="1" s="1"/>
  <c r="G44" i="1" s="1"/>
</calcChain>
</file>

<file path=xl/sharedStrings.xml><?xml version="1.0" encoding="utf-8"?>
<sst xmlns="http://schemas.openxmlformats.org/spreadsheetml/2006/main" count="67" uniqueCount="55">
  <si>
    <t>Binomial Asset Pricing Model</t>
  </si>
  <si>
    <t>dt = T/N</t>
  </si>
  <si>
    <t>U = e(sigma*dt^0.5)</t>
  </si>
  <si>
    <t>D = 1/U</t>
  </si>
  <si>
    <t>Pu = (e(r*dt)-D)/U-D</t>
  </si>
  <si>
    <t>Pd = 1-Pu</t>
  </si>
  <si>
    <t>Exp Value = (Up option value * P(stock moved Up) + Down option Value * P(stock moved down))*DiscountBackOneStep</t>
  </si>
  <si>
    <t>inputs</t>
  </si>
  <si>
    <t xml:space="preserve">r </t>
  </si>
  <si>
    <t>sigma</t>
  </si>
  <si>
    <t>T</t>
  </si>
  <si>
    <t>N</t>
  </si>
  <si>
    <t>S0</t>
  </si>
  <si>
    <t>K</t>
  </si>
  <si>
    <t>dt</t>
  </si>
  <si>
    <t>U</t>
  </si>
  <si>
    <t>D</t>
  </si>
  <si>
    <t>Pu</t>
  </si>
  <si>
    <t>Pd</t>
  </si>
  <si>
    <t>Disc Rate</t>
  </si>
  <si>
    <t>SHARE VALUE</t>
  </si>
  <si>
    <t>STEPS</t>
  </si>
  <si>
    <t>TIME</t>
  </si>
  <si>
    <t xml:space="preserve"> </t>
  </si>
  <si>
    <t xml:space="preserve">  </t>
  </si>
  <si>
    <t>S</t>
  </si>
  <si>
    <t>S*U</t>
  </si>
  <si>
    <t>S*D</t>
  </si>
  <si>
    <t>S*U^2</t>
  </si>
  <si>
    <t>S*U*D</t>
  </si>
  <si>
    <t>S*U^3</t>
  </si>
  <si>
    <t>S*U^2*D</t>
  </si>
  <si>
    <t>S*U^4</t>
  </si>
  <si>
    <t>S*U^3*D</t>
  </si>
  <si>
    <t>S*U^2*D^2</t>
  </si>
  <si>
    <t>S*U^*D^3</t>
  </si>
  <si>
    <t>S*D^4</t>
  </si>
  <si>
    <t>S*D^2</t>
  </si>
  <si>
    <t>S*U*D^2</t>
  </si>
  <si>
    <t>S*D^3</t>
  </si>
  <si>
    <t>U^4</t>
  </si>
  <si>
    <t>U^3*D</t>
  </si>
  <si>
    <t>U^2*D^2</t>
  </si>
  <si>
    <t>U*D^3</t>
  </si>
  <si>
    <t>D^4</t>
  </si>
  <si>
    <t>final value</t>
  </si>
  <si>
    <t>Max(ST-K,0)</t>
  </si>
  <si>
    <t>P</t>
  </si>
  <si>
    <t>Exp Value</t>
  </si>
  <si>
    <t>PV(EXPTED)</t>
  </si>
  <si>
    <t>One-step at a time</t>
  </si>
  <si>
    <t>Expected Value (4)</t>
  </si>
  <si>
    <t>(U*Pu+D*Pd)*disc</t>
  </si>
  <si>
    <t>Expected Value (3)</t>
  </si>
  <si>
    <t>Expected Value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</si>
</sst>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56A1B-DAB1-9B41-9B2A-7A8DF0107EDB}">
  <sheetPr codeName="Sheet1"/>
  <dimension ref="A1:M66"/>
  <sheetViews>
    <sheetView tabSelected="1" topLeftCell="A34" workbookViewId="0">
      <selection activeCell="M62" sqref="M62"/>
    </sheetView>
  </sheetViews>
  <sheetFormatPr baseColWidth="10" defaultRowHeight="16" x14ac:dyDescent="0.2"/>
  <sheetData>
    <row r="1" spans="1:1" x14ac:dyDescent="0.2">
      <c r="A1" t="s">
        <v>0</v>
      </c>
    </row>
    <row r="5" spans="1:1" x14ac:dyDescent="0.2">
      <c r="A5" t="s">
        <v>1</v>
      </c>
    </row>
    <row r="6" spans="1:1" x14ac:dyDescent="0.2">
      <c r="A6" t="s">
        <v>2</v>
      </c>
    </row>
    <row r="7" spans="1:1" x14ac:dyDescent="0.2">
      <c r="A7" t="s">
        <v>3</v>
      </c>
    </row>
    <row r="9" spans="1:1" x14ac:dyDescent="0.2">
      <c r="A9" t="s">
        <v>4</v>
      </c>
    </row>
    <row r="10" spans="1:1" x14ac:dyDescent="0.2">
      <c r="A10" t="s">
        <v>5</v>
      </c>
    </row>
    <row r="13" spans="1:1" x14ac:dyDescent="0.2">
      <c r="A13" t="s">
        <v>6</v>
      </c>
    </row>
    <row r="19" spans="1:12" x14ac:dyDescent="0.2">
      <c r="G19" t="s">
        <v>20</v>
      </c>
    </row>
    <row r="20" spans="1:12" x14ac:dyDescent="0.2">
      <c r="A20" t="s">
        <v>7</v>
      </c>
      <c r="G20" t="s">
        <v>21</v>
      </c>
      <c r="H20">
        <v>0</v>
      </c>
      <c r="I20">
        <v>1</v>
      </c>
      <c r="J20">
        <v>2</v>
      </c>
      <c r="K20">
        <v>3</v>
      </c>
      <c r="L20">
        <v>4</v>
      </c>
    </row>
    <row r="21" spans="1:12" x14ac:dyDescent="0.2">
      <c r="A21" t="s">
        <v>8</v>
      </c>
      <c r="B21" s="1">
        <v>0.03</v>
      </c>
      <c r="D21" t="s">
        <v>14</v>
      </c>
      <c r="E21">
        <f>B23/B24</f>
        <v>0.5</v>
      </c>
      <c r="G21" t="s">
        <v>22</v>
      </c>
      <c r="H21">
        <v>0</v>
      </c>
      <c r="I21">
        <v>0.5</v>
      </c>
      <c r="J21">
        <v>1</v>
      </c>
      <c r="K21">
        <v>1.5</v>
      </c>
      <c r="L21">
        <v>2</v>
      </c>
    </row>
    <row r="22" spans="1:12" x14ac:dyDescent="0.2">
      <c r="A22" t="s">
        <v>9</v>
      </c>
      <c r="B22" s="1">
        <v>0.1</v>
      </c>
      <c r="D22" t="s">
        <v>15</v>
      </c>
      <c r="E22">
        <f>EXP(B22*E21^0.5)</f>
        <v>1.073270660257192</v>
      </c>
    </row>
    <row r="23" spans="1:12" x14ac:dyDescent="0.2">
      <c r="A23" t="s">
        <v>10</v>
      </c>
      <c r="B23">
        <v>2</v>
      </c>
      <c r="D23" t="s">
        <v>16</v>
      </c>
      <c r="E23">
        <f>1/E22</f>
        <v>0.93173142342339454</v>
      </c>
    </row>
    <row r="24" spans="1:12" x14ac:dyDescent="0.2">
      <c r="A24" t="s">
        <v>11</v>
      </c>
      <c r="B24">
        <v>4</v>
      </c>
      <c r="D24" t="s">
        <v>17</v>
      </c>
      <c r="E24">
        <f>(EXP(B21*E21)-E23)/(E22-E23)</f>
        <v>0.58910619456169133</v>
      </c>
    </row>
    <row r="25" spans="1:12" x14ac:dyDescent="0.2">
      <c r="A25" t="s">
        <v>12</v>
      </c>
      <c r="B25">
        <v>100</v>
      </c>
      <c r="D25" t="s">
        <v>18</v>
      </c>
      <c r="E25">
        <f>1-E24</f>
        <v>0.41089380543830867</v>
      </c>
    </row>
    <row r="26" spans="1:12" x14ac:dyDescent="0.2">
      <c r="A26" t="s">
        <v>13</v>
      </c>
      <c r="B26">
        <v>105</v>
      </c>
      <c r="D26" t="s">
        <v>19</v>
      </c>
      <c r="E26">
        <f>1/(1+B21/2)</f>
        <v>0.98522167487684742</v>
      </c>
    </row>
    <row r="28" spans="1:12" x14ac:dyDescent="0.2">
      <c r="K28">
        <f>J29*E22</f>
        <v>132.68964411453436</v>
      </c>
    </row>
    <row r="29" spans="1:12" x14ac:dyDescent="0.2">
      <c r="J29">
        <f>I30*E22</f>
        <v>123.63111098437875</v>
      </c>
    </row>
    <row r="30" spans="1:12" x14ac:dyDescent="0.2">
      <c r="I30">
        <f>H31*E22</f>
        <v>115.19099101689089</v>
      </c>
      <c r="K30">
        <f>J31*up</f>
        <v>115.19099101689089</v>
      </c>
    </row>
    <row r="31" spans="1:12" x14ac:dyDescent="0.2">
      <c r="H31">
        <f>G32*E22</f>
        <v>107.3270660257192</v>
      </c>
      <c r="J31">
        <f>I32*up</f>
        <v>107.3270660257192</v>
      </c>
    </row>
    <row r="32" spans="1:12" x14ac:dyDescent="0.2">
      <c r="G32">
        <v>100</v>
      </c>
      <c r="I32">
        <f>H33*up</f>
        <v>100</v>
      </c>
      <c r="K32">
        <f>J33*up</f>
        <v>100</v>
      </c>
    </row>
    <row r="33" spans="3:12" x14ac:dyDescent="0.2">
      <c r="H33">
        <f>G32*down</f>
        <v>93.17314234233946</v>
      </c>
      <c r="J33">
        <f>I32*down</f>
        <v>93.17314234233946</v>
      </c>
    </row>
    <row r="34" spans="3:12" x14ac:dyDescent="0.2">
      <c r="I34">
        <f>H33*down</f>
        <v>86.812344539458493</v>
      </c>
      <c r="K34">
        <f>J35*up</f>
        <v>86.812344539458493</v>
      </c>
    </row>
    <row r="35" spans="3:12" x14ac:dyDescent="0.2">
      <c r="J35">
        <f>I34*down</f>
        <v>80.885789348471818</v>
      </c>
    </row>
    <row r="36" spans="3:12" x14ac:dyDescent="0.2">
      <c r="K36">
        <f>J35*down</f>
        <v>75.363831644376489</v>
      </c>
    </row>
    <row r="40" spans="3:12" x14ac:dyDescent="0.2">
      <c r="K40">
        <f>MAX(K28-B26,0)</f>
        <v>27.68964411453436</v>
      </c>
    </row>
    <row r="41" spans="3:12" x14ac:dyDescent="0.2">
      <c r="J41">
        <f>(K40*Pu+K42*Pd)*disc</f>
        <v>20.196606850442159</v>
      </c>
    </row>
    <row r="42" spans="3:12" x14ac:dyDescent="0.2">
      <c r="I42">
        <f>(J41*Pu+J43*Pd)*disc</f>
        <v>14.11657410826947</v>
      </c>
      <c r="K42">
        <f>MAX(K30-B26,0)</f>
        <v>10.190991016890891</v>
      </c>
    </row>
    <row r="43" spans="3:12" x14ac:dyDescent="0.2">
      <c r="H43">
        <f>(I42*Pu+I44*Pd)*disc</f>
        <v>9.5830071413261653</v>
      </c>
      <c r="J43">
        <f>(K42*Pu+K44*Pd)*disc</f>
        <v>5.914853139677807</v>
      </c>
    </row>
    <row r="44" spans="3:12" x14ac:dyDescent="0.2">
      <c r="G44">
        <f>(H43*Pu+H45*Pd)*disc</f>
        <v>6.3685873433823401</v>
      </c>
      <c r="I44">
        <f>(J43*Pu+J45*Pd)*disc</f>
        <v>3.4329818960658769</v>
      </c>
      <c r="K44">
        <f>MAX(K32-k,0)</f>
        <v>0</v>
      </c>
      <c r="L44" t="s">
        <v>23</v>
      </c>
    </row>
    <row r="45" spans="3:12" x14ac:dyDescent="0.2">
      <c r="H45">
        <f>(I44*Pu+I46*Pd)*disc</f>
        <v>1.9925033505325604</v>
      </c>
      <c r="J45">
        <f>(K44*Pu+K46*Pd)*disc</f>
        <v>0</v>
      </c>
    </row>
    <row r="46" spans="3:12" x14ac:dyDescent="0.2">
      <c r="I46">
        <f>(J45*Pu+J47*Pd)*disc</f>
        <v>0</v>
      </c>
      <c r="K46">
        <f>MAX(K34-k,0)</f>
        <v>0</v>
      </c>
    </row>
    <row r="47" spans="3:12" x14ac:dyDescent="0.2">
      <c r="J47">
        <f>(K46*Pu+K48*Pd)*disc</f>
        <v>0</v>
      </c>
    </row>
    <row r="48" spans="3:12" x14ac:dyDescent="0.2">
      <c r="C48" t="s">
        <v>45</v>
      </c>
      <c r="E48" t="s">
        <v>46</v>
      </c>
      <c r="F48" t="s">
        <v>47</v>
      </c>
      <c r="G48" t="s">
        <v>48</v>
      </c>
      <c r="H48" t="s">
        <v>49</v>
      </c>
      <c r="K48">
        <f>MAX(K36-k,0)</f>
        <v>0</v>
      </c>
    </row>
    <row r="49" spans="1:13" x14ac:dyDescent="0.2">
      <c r="A49" t="s">
        <v>40</v>
      </c>
      <c r="B49">
        <f>up^4</f>
        <v>1.3268964411453434</v>
      </c>
      <c r="C49">
        <f>S0*B49</f>
        <v>132.68964411453433</v>
      </c>
      <c r="E49">
        <f>MAX(C49-k,0)</f>
        <v>27.689644114534332</v>
      </c>
      <c r="F49">
        <f>Pu^4</f>
        <v>0.12044100140483549</v>
      </c>
      <c r="G49">
        <f>E49*F49</f>
        <v>3.3349684656980241</v>
      </c>
      <c r="H49">
        <f>G49*disc^4</f>
        <v>3.1421546968841909</v>
      </c>
    </row>
    <row r="50" spans="1:13" x14ac:dyDescent="0.2">
      <c r="A50" t="s">
        <v>41</v>
      </c>
      <c r="B50">
        <f>up^3*down</f>
        <v>1.1519099101689088</v>
      </c>
      <c r="C50">
        <f>S0*B50</f>
        <v>115.19099101689088</v>
      </c>
      <c r="E50">
        <f>MAX(C50-k,0)</f>
        <v>10.190991016890877</v>
      </c>
      <c r="F50">
        <f>Pu^3*Pd*4</f>
        <v>0.33602404357573662</v>
      </c>
      <c r="G50">
        <f>E50*F50</f>
        <v>3.4244180095396803</v>
      </c>
      <c r="H50">
        <f>G50*disc^4</f>
        <v>3.2264326464981403</v>
      </c>
    </row>
    <row r="51" spans="1:13" x14ac:dyDescent="0.2">
      <c r="A51" t="s">
        <v>42</v>
      </c>
      <c r="B51">
        <f>up^2*down^2</f>
        <v>0.99999999999999989</v>
      </c>
      <c r="C51">
        <f>S0*B51</f>
        <v>99.999999999999986</v>
      </c>
      <c r="E51">
        <f>MAX(C51-k,0)</f>
        <v>0</v>
      </c>
      <c r="F51">
        <f>Pu^2*Pd^2*6</f>
        <v>0.35155851166952135</v>
      </c>
      <c r="G51">
        <f>E51*F51</f>
        <v>0</v>
      </c>
      <c r="H51">
        <f>G51*disc^4</f>
        <v>0</v>
      </c>
    </row>
    <row r="52" spans="1:13" x14ac:dyDescent="0.2">
      <c r="A52" t="s">
        <v>43</v>
      </c>
      <c r="B52">
        <f>up*down^3</f>
        <v>0.86812344539458486</v>
      </c>
      <c r="C52">
        <f>S0*B52</f>
        <v>86.812344539458479</v>
      </c>
      <c r="E52">
        <f>MAX(C52-k,0)</f>
        <v>0</v>
      </c>
      <c r="F52">
        <f>Pu*Pd^3*4</f>
        <v>0.16347161856117098</v>
      </c>
      <c r="G52">
        <f>E52*F52</f>
        <v>0</v>
      </c>
      <c r="H52">
        <f>G52*disc^4</f>
        <v>0</v>
      </c>
    </row>
    <row r="53" spans="1:13" x14ac:dyDescent="0.2">
      <c r="A53" t="s">
        <v>44</v>
      </c>
      <c r="B53">
        <f>down^4</f>
        <v>0.753638316443765</v>
      </c>
      <c r="C53">
        <f>S0*B53</f>
        <v>75.363831644376504</v>
      </c>
      <c r="E53">
        <f>MAX(C53-k,0)</f>
        <v>0</v>
      </c>
      <c r="F53">
        <f>Pd^4</f>
        <v>2.8504824788735606E-2</v>
      </c>
      <c r="G53">
        <f>E53*F53</f>
        <v>0</v>
      </c>
      <c r="H53">
        <f>G53*disc^4</f>
        <v>0</v>
      </c>
      <c r="I53" t="s">
        <v>24</v>
      </c>
    </row>
    <row r="54" spans="1:13" x14ac:dyDescent="0.2">
      <c r="F54">
        <f>SUM(F49:F53)</f>
        <v>1</v>
      </c>
      <c r="H54">
        <f>SUM(H49:H53)</f>
        <v>6.3685873433823312</v>
      </c>
    </row>
    <row r="59" spans="1:13" x14ac:dyDescent="0.2">
      <c r="A59" t="s">
        <v>50</v>
      </c>
    </row>
    <row r="60" spans="1:13" x14ac:dyDescent="0.2">
      <c r="G60" t="s">
        <v>51</v>
      </c>
      <c r="I60" t="s">
        <v>53</v>
      </c>
      <c r="K60" t="s">
        <v>54</v>
      </c>
      <c r="M60" t="s">
        <v>54</v>
      </c>
    </row>
    <row r="61" spans="1:13" x14ac:dyDescent="0.2">
      <c r="C61" t="s">
        <v>45</v>
      </c>
      <c r="E61" s="3" t="s">
        <v>46</v>
      </c>
      <c r="G61" t="s">
        <v>52</v>
      </c>
      <c r="I61" t="s">
        <v>52</v>
      </c>
      <c r="K61" t="s">
        <v>52</v>
      </c>
      <c r="M61" t="s">
        <v>52</v>
      </c>
    </row>
    <row r="62" spans="1:13" x14ac:dyDescent="0.2">
      <c r="A62" t="s">
        <v>40</v>
      </c>
      <c r="B62">
        <f>up^4</f>
        <v>1.3268964411453434</v>
      </c>
      <c r="C62" s="3">
        <f>S0*B62</f>
        <v>132.68964411453433</v>
      </c>
      <c r="E62" s="3">
        <f>MAX(C62-k,0)</f>
        <v>27.689644114534332</v>
      </c>
      <c r="G62" s="3">
        <f>(E62*Pu+E63*Pd)*disc</f>
        <v>20.196606850442137</v>
      </c>
      <c r="I62" s="3">
        <f>(G62*Pu+G63*Pd)*disc</f>
        <v>14.116574108269452</v>
      </c>
      <c r="K62" s="3">
        <f>(I62*Pu+I63*Pd)*disc</f>
        <v>9.5830071413261528</v>
      </c>
      <c r="M62" s="4">
        <f>(K62*Pu+K63*Pd)*disc</f>
        <v>6.3685873433823312</v>
      </c>
    </row>
    <row r="63" spans="1:13" x14ac:dyDescent="0.2">
      <c r="A63" t="s">
        <v>41</v>
      </c>
      <c r="B63">
        <f>up^3*down</f>
        <v>1.1519099101689088</v>
      </c>
      <c r="C63" s="3">
        <f>S0*B63</f>
        <v>115.19099101689088</v>
      </c>
      <c r="E63" s="3">
        <f>MAX(C63-k,0)</f>
        <v>10.190991016890877</v>
      </c>
      <c r="G63" s="3">
        <f>(E63*Pu+E64*Pd)*disc</f>
        <v>5.914853139677799</v>
      </c>
      <c r="I63" s="3">
        <f>(G63*Pu+G64*Pd)*disc</f>
        <v>3.4329818960658729</v>
      </c>
      <c r="K63" s="3">
        <f>(I63*Pu+I64*Pd)*disc</f>
        <v>1.9925033505325582</v>
      </c>
      <c r="M63" s="3"/>
    </row>
    <row r="64" spans="1:13" x14ac:dyDescent="0.2">
      <c r="A64" t="s">
        <v>42</v>
      </c>
      <c r="B64">
        <f>up^2*down^2</f>
        <v>0.99999999999999989</v>
      </c>
      <c r="C64" s="3">
        <f>S0*B64</f>
        <v>99.999999999999986</v>
      </c>
      <c r="E64" s="3">
        <f>MAX(C64-k,0)</f>
        <v>0</v>
      </c>
      <c r="G64" s="3">
        <f>(E64*Pu+E65*Pd)*disc</f>
        <v>0</v>
      </c>
      <c r="I64" s="3">
        <f>(G64*Pu+G65*Pd)*disc</f>
        <v>0</v>
      </c>
      <c r="K64" s="3"/>
      <c r="M64" s="3"/>
    </row>
    <row r="65" spans="1:13" x14ac:dyDescent="0.2">
      <c r="A65" t="s">
        <v>43</v>
      </c>
      <c r="B65">
        <f>up*down^3</f>
        <v>0.86812344539458486</v>
      </c>
      <c r="C65" s="3">
        <f>S0*B65</f>
        <v>86.812344539458479</v>
      </c>
      <c r="E65" s="3">
        <f>MAX(C65-k,0)</f>
        <v>0</v>
      </c>
      <c r="G65" s="3">
        <f>(E65*Pu+E66*Pd)*disc</f>
        <v>0</v>
      </c>
      <c r="I65" s="3"/>
      <c r="K65" s="3"/>
      <c r="M65" s="3"/>
    </row>
    <row r="66" spans="1:13" x14ac:dyDescent="0.2">
      <c r="A66" t="s">
        <v>44</v>
      </c>
      <c r="B66">
        <f>down^4</f>
        <v>0.753638316443765</v>
      </c>
      <c r="C66" s="3">
        <f>S0*B66</f>
        <v>75.363831644376504</v>
      </c>
      <c r="E66" s="3">
        <f>MAX(C66-k,0)</f>
        <v>0</v>
      </c>
      <c r="G66" s="3"/>
      <c r="I66" s="3" t="s">
        <v>23</v>
      </c>
      <c r="K66" s="3"/>
      <c r="M6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90215-4E71-0D48-A51C-D033DF0D60B9}">
  <sheetPr codeName="Sheet2"/>
  <dimension ref="A1:E5"/>
  <sheetViews>
    <sheetView workbookViewId="0">
      <selection activeCell="D7" sqref="D7"/>
    </sheetView>
  </sheetViews>
  <sheetFormatPr baseColWidth="10" defaultRowHeight="16" x14ac:dyDescent="0.2"/>
  <sheetData>
    <row r="1" spans="1:5" x14ac:dyDescent="0.2">
      <c r="A1" t="s">
        <v>25</v>
      </c>
      <c r="B1" t="s">
        <v>26</v>
      </c>
      <c r="C1" t="s">
        <v>28</v>
      </c>
      <c r="D1" t="s">
        <v>30</v>
      </c>
      <c r="E1" t="s">
        <v>32</v>
      </c>
    </row>
    <row r="2" spans="1:5" x14ac:dyDescent="0.2">
      <c r="B2" t="s">
        <v>27</v>
      </c>
      <c r="C2" t="s">
        <v>29</v>
      </c>
      <c r="D2" t="s">
        <v>31</v>
      </c>
      <c r="E2" t="s">
        <v>33</v>
      </c>
    </row>
    <row r="3" spans="1:5" x14ac:dyDescent="0.2">
      <c r="C3" t="s">
        <v>37</v>
      </c>
      <c r="D3" t="s">
        <v>38</v>
      </c>
      <c r="E3" t="s">
        <v>34</v>
      </c>
    </row>
    <row r="4" spans="1:5" x14ac:dyDescent="0.2">
      <c r="D4" t="s">
        <v>39</v>
      </c>
      <c r="E4" t="s">
        <v>35</v>
      </c>
    </row>
    <row r="5" spans="1:5" x14ac:dyDescent="0.2">
      <c r="E5" s="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Sheet2</vt:lpstr>
      <vt:lpstr>disc</vt:lpstr>
      <vt:lpstr>down</vt:lpstr>
      <vt:lpstr>k</vt:lpstr>
      <vt:lpstr>Pd</vt:lpstr>
      <vt:lpstr>Pu</vt:lpstr>
      <vt:lpstr>S0</vt:lpstr>
      <vt:lpstr>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Bin's Air</dc:creator>
  <cp:lastModifiedBy>Microsoft Office User</cp:lastModifiedBy>
  <dcterms:created xsi:type="dcterms:W3CDTF">2019-05-06T20:17:19Z</dcterms:created>
  <dcterms:modified xsi:type="dcterms:W3CDTF">2019-05-10T03:35:27Z</dcterms:modified>
</cp:coreProperties>
</file>